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cumentos\Programacion\KPIAtsa\backend\data\"/>
    </mc:Choice>
  </mc:AlternateContent>
  <xr:revisionPtr revIDLastSave="0" documentId="13_ncr:1_{CEA15250-C045-43DD-8474-37559B17C9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TD" sheetId="1" r:id="rId1"/>
    <sheet name="YT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<sst xmlns="http://schemas.openxmlformats.org/spreadsheetml/2006/main" count="28" uniqueCount="14">
  <si>
    <t>id</t>
  </si>
  <si>
    <t>value</t>
  </si>
  <si>
    <t>target</t>
  </si>
  <si>
    <t>variation</t>
  </si>
  <si>
    <t>facturacion</t>
  </si>
  <si>
    <t>deudores_ventas</t>
  </si>
  <si>
    <t>dso</t>
  </si>
  <si>
    <t>prov_ext</t>
  </si>
  <si>
    <t>pagos_exterior</t>
  </si>
  <si>
    <t>tipo_cambio</t>
  </si>
  <si>
    <t>cobertura_cfe</t>
  </si>
  <si>
    <t>backlog</t>
  </si>
  <si>
    <t>ausentismo</t>
  </si>
  <si>
    <t>horas_st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</si>
</sst>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175" zoomScaleNormal="175" workbookViewId="0">
      <selection activeCell="B11" sqref="B2:D11"/>
    </sheetView>
  </sheetViews>
  <sheetFormatPr baseColWidth="10" defaultColWidth="8.88671875" defaultRowHeight="14.4" x14ac:dyDescent="0.3"/>
  <cols>
    <col min="1" max="1" width="15.109375" bestFit="1" customWidth="1"/>
    <col min="2" max="3" width="12.88671875" bestFit="1" customWidth="1"/>
    <col min="4" max="4" width="1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800000</v>
      </c>
      <c r="C2" s="1">
        <v>750000</v>
      </c>
      <c r="D2" s="1">
        <f>+B2-C2</f>
        <v>50000</v>
      </c>
    </row>
    <row r="3" spans="1:4" x14ac:dyDescent="0.3">
      <c r="A3" t="s">
        <v>5</v>
      </c>
      <c r="B3" s="1">
        <v>1200000</v>
      </c>
      <c r="C3" s="1">
        <v>1100000</v>
      </c>
      <c r="D3" s="1">
        <f t="shared" ref="D3:D11" si="0">+B3-C3</f>
        <v>100000</v>
      </c>
    </row>
    <row r="4" spans="1:4" x14ac:dyDescent="0.3">
      <c r="A4" t="s">
        <v>6</v>
      </c>
      <c r="B4" s="1">
        <v>45</v>
      </c>
      <c r="C4" s="1">
        <v>50</v>
      </c>
      <c r="D4" s="1">
        <f t="shared" si="0"/>
        <v>-5</v>
      </c>
    </row>
    <row r="5" spans="1:4" x14ac:dyDescent="0.3">
      <c r="A5" t="s">
        <v>7</v>
      </c>
      <c r="B5" s="1">
        <v>800000</v>
      </c>
      <c r="C5" s="1">
        <v>750000</v>
      </c>
      <c r="D5" s="1">
        <f t="shared" si="0"/>
        <v>50000</v>
      </c>
    </row>
    <row r="6" spans="1:4" x14ac:dyDescent="0.3">
      <c r="A6" t="s">
        <v>8</v>
      </c>
      <c r="B6" s="1">
        <v>400000</v>
      </c>
      <c r="C6" s="1">
        <v>420000</v>
      </c>
      <c r="D6" s="1">
        <f t="shared" si="0"/>
        <v>-20000</v>
      </c>
    </row>
    <row r="7" spans="1:4" x14ac:dyDescent="0.3">
      <c r="A7" t="s">
        <v>9</v>
      </c>
      <c r="B7" s="1">
        <v>1450</v>
      </c>
      <c r="C7" s="1">
        <v>1500</v>
      </c>
      <c r="D7" s="1">
        <f t="shared" si="0"/>
        <v>-50</v>
      </c>
    </row>
    <row r="8" spans="1:4" x14ac:dyDescent="0.3">
      <c r="A8" t="s">
        <v>10</v>
      </c>
      <c r="B8" s="1">
        <v>1.5</v>
      </c>
      <c r="C8" s="1">
        <v>1.6</v>
      </c>
      <c r="D8" s="1">
        <f t="shared" si="0"/>
        <v>-0.10000000000000009</v>
      </c>
    </row>
    <row r="9" spans="1:4" x14ac:dyDescent="0.3">
      <c r="A9" t="s">
        <v>13</v>
      </c>
      <c r="B9" s="1">
        <v>3500</v>
      </c>
      <c r="C9" s="1">
        <v>3100</v>
      </c>
      <c r="D9" s="1">
        <f t="shared" si="0"/>
        <v>400</v>
      </c>
    </row>
    <row r="10" spans="1:4" x14ac:dyDescent="0.3">
      <c r="A10" t="s">
        <v>11</v>
      </c>
      <c r="B10" s="1">
        <v>5000</v>
      </c>
      <c r="C10" s="1">
        <f>+C9</f>
        <v>3100</v>
      </c>
      <c r="D10" s="1">
        <f t="shared" si="0"/>
        <v>1900</v>
      </c>
    </row>
    <row r="11" spans="1:4" x14ac:dyDescent="0.3">
      <c r="A11" t="s">
        <v>12</v>
      </c>
      <c r="B11" s="1">
        <v>1.1000000000000001</v>
      </c>
      <c r="C11" s="1">
        <v>1</v>
      </c>
      <c r="D11" s="1">
        <f t="shared" si="0"/>
        <v>0.10000000000000009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3D52-906D-4EB3-97E9-18C0E833D443}">
  <dimension ref="A1:D11"/>
  <sheetViews>
    <sheetView tabSelected="1" zoomScale="145" zoomScaleNormal="145" workbookViewId="0">
      <selection activeCell="B2" sqref="B2:D11"/>
    </sheetView>
  </sheetViews>
  <sheetFormatPr baseColWidth="10" defaultRowHeight="14.4" x14ac:dyDescent="0.3"/>
  <cols>
    <col min="1" max="1" width="15.21875" bestFit="1" customWidth="1"/>
    <col min="2" max="3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9600000</v>
      </c>
      <c r="C2" s="1">
        <v>9000000</v>
      </c>
      <c r="D2" s="1">
        <v>600000</v>
      </c>
    </row>
    <row r="3" spans="1:4" x14ac:dyDescent="0.3">
      <c r="A3" t="s">
        <v>5</v>
      </c>
      <c r="B3" s="1">
        <v>1200000</v>
      </c>
      <c r="C3" s="1">
        <v>1320000</v>
      </c>
      <c r="D3" s="1">
        <v>-120000</v>
      </c>
    </row>
    <row r="4" spans="1:4" x14ac:dyDescent="0.3">
      <c r="A4" t="s">
        <v>6</v>
      </c>
      <c r="B4" s="1">
        <v>45</v>
      </c>
      <c r="C4" s="1">
        <v>50</v>
      </c>
      <c r="D4" s="1">
        <v>-5</v>
      </c>
    </row>
    <row r="5" spans="1:4" x14ac:dyDescent="0.3">
      <c r="A5" t="s">
        <v>7</v>
      </c>
      <c r="B5" s="1">
        <v>800000</v>
      </c>
      <c r="C5" s="1">
        <v>880000.00000000012</v>
      </c>
      <c r="D5" s="1">
        <v>-80000.000000000116</v>
      </c>
    </row>
    <row r="6" spans="1:4" x14ac:dyDescent="0.3">
      <c r="A6" t="s">
        <v>8</v>
      </c>
      <c r="B6" s="1">
        <v>4800000</v>
      </c>
      <c r="C6" s="1">
        <v>5040000</v>
      </c>
      <c r="D6" s="1">
        <v>-240000</v>
      </c>
    </row>
    <row r="7" spans="1:4" x14ac:dyDescent="0.3">
      <c r="A7" t="s">
        <v>9</v>
      </c>
      <c r="B7" s="1">
        <v>1450</v>
      </c>
      <c r="C7" s="1">
        <v>1400</v>
      </c>
      <c r="D7" s="1">
        <v>50</v>
      </c>
    </row>
    <row r="8" spans="1:4" x14ac:dyDescent="0.3">
      <c r="A8" t="s">
        <v>10</v>
      </c>
      <c r="B8" s="1">
        <v>1.5</v>
      </c>
      <c r="C8" s="1">
        <v>1.6</v>
      </c>
      <c r="D8" s="1">
        <v>-0.10000000000000009</v>
      </c>
    </row>
    <row r="9" spans="1:4" x14ac:dyDescent="0.3">
      <c r="A9" t="s">
        <v>13</v>
      </c>
      <c r="B9" s="1">
        <v>42000</v>
      </c>
      <c r="C9" s="1">
        <v>37200</v>
      </c>
      <c r="D9" s="1">
        <v>4800</v>
      </c>
    </row>
    <row r="10" spans="1:4" x14ac:dyDescent="0.3">
      <c r="A10" t="s">
        <v>11</v>
      </c>
      <c r="B10" s="1">
        <v>5000</v>
      </c>
      <c r="C10" s="1">
        <v>2790</v>
      </c>
      <c r="D10" s="1">
        <v>2210</v>
      </c>
    </row>
    <row r="11" spans="1:4" x14ac:dyDescent="0.3">
      <c r="A11" t="s">
        <v>12</v>
      </c>
      <c r="B11" s="1">
        <v>1.1000000000000001</v>
      </c>
      <c r="C11" s="1">
        <v>2</v>
      </c>
      <c r="D11" s="1">
        <v>-0.89999999999999991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MTD</vt:lpstr>
      <vt:lpstr>YTD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Martin</cp:lastModifiedBy>
  <dcterms:created xsi:type="dcterms:W3CDTF">2026-02-02T16:37:24Z</dcterms:created>
  <dcterms:modified xsi:type="dcterms:W3CDTF">2026-02-02T17:22:04Z</dcterms:modified>
</cp:coreProperties>
</file>