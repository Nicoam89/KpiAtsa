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os\Programacion\KPIAtsa\backend\data\"/>
    </mc:Choice>
  </mc:AlternateContent>
  <xr:revisionPtr revIDLastSave="0" documentId="13_ncr:1_{E8E32424-5D89-4646-8A33-3D76D7A215EF}" xr6:coauthVersionLast="47" xr6:coauthVersionMax="47" xr10:uidLastSave="{00000000-0000-0000-0000-000000000000}"/>
  <bookViews>
    <workbookView xWindow="-108" yWindow="-108" windowWidth="23256" windowHeight="12456" firstSheet="1" activeTab="8" xr2:uid="{8BA0733D-F53F-4714-A9FB-2E236A8DE05F}"/>
  </bookViews>
  <sheets>
    <sheet name="Menu" sheetId="2" r:id="rId1"/>
    <sheet name="facturacion" sheetId="1" r:id="rId2"/>
    <sheet name="deudores_ventas" sheetId="3" r:id="rId3"/>
    <sheet name="dso" sheetId="4" r:id="rId4"/>
    <sheet name="prov_ext" sheetId="5" r:id="rId5"/>
    <sheet name="Pagos" sheetId="6" r:id="rId6"/>
    <sheet name="cobertura_cfe" sheetId="7" r:id="rId7"/>
    <sheet name="Ausentismo" sheetId="8" r:id="rId8"/>
    <sheet name="HS ST" sheetId="9" r:id="rId9"/>
    <sheet name="Backlog" sheetId="10" r:id="rId10"/>
    <sheet name="Venta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8" l="1"/>
  <c r="C2" i="8"/>
  <c r="D5" i="2"/>
  <c r="D3" i="2"/>
  <c r="D2" i="10"/>
  <c r="D2" i="7"/>
  <c r="D2" i="9"/>
  <c r="D2" i="4"/>
  <c r="D3" i="1"/>
  <c r="D4" i="1"/>
  <c r="D5" i="1"/>
  <c r="D6" i="1"/>
  <c r="D2" i="1"/>
  <c r="C2" i="10"/>
  <c r="C2" i="9"/>
  <c r="C5" i="2"/>
</calcChain>
</file>

<file path=xl/sharedStrings.xml><?xml version="1.0" encoding="utf-8"?>
<sst xmlns="http://schemas.openxmlformats.org/spreadsheetml/2006/main" count="81" uniqueCount="46">
  <si>
    <t>Valor USD</t>
  </si>
  <si>
    <t>Forecast USD</t>
  </si>
  <si>
    <t>Tipo</t>
  </si>
  <si>
    <t>Periodo</t>
  </si>
  <si>
    <t>2026-01</t>
  </si>
  <si>
    <t>Correctivos</t>
  </si>
  <si>
    <t>Regulatorios</t>
  </si>
  <si>
    <t>CATA</t>
  </si>
  <si>
    <t>Equipos</t>
  </si>
  <si>
    <t>Abono</t>
  </si>
  <si>
    <t>Negocio</t>
  </si>
  <si>
    <t>Estado</t>
  </si>
  <si>
    <t>En Termino</t>
  </si>
  <si>
    <t>Vencido</t>
  </si>
  <si>
    <t>DSO</t>
  </si>
  <si>
    <t>Dias</t>
  </si>
  <si>
    <t>Forecast</t>
  </si>
  <si>
    <t>Perido Anterior</t>
  </si>
  <si>
    <t>2025-12</t>
  </si>
  <si>
    <t>Anterior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</si>
  <si>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</si>
  <si>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</si>
  <si>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</si>
  <si>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</si>
  <si>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</si>
  <si>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</si>
  <si>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</si>
  <si>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</si>
  <si>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</si>
  <si>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</si>
  <si>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</si>
  <si>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BCRA</t>
  </si>
  <si>
    <t>CFE ARS</t>
  </si>
  <si>
    <t>CO + SO ARS</t>
  </si>
  <si>
    <t>Cobertura</t>
  </si>
  <si>
    <t>CFE</t>
  </si>
  <si>
    <t>Horas</t>
  </si>
  <si>
    <t>Target Horas ST</t>
  </si>
  <si>
    <t>Target</t>
  </si>
  <si>
    <t>ST</t>
  </si>
  <si>
    <t>Variacion</t>
  </si>
  <si>
    <t>MES</t>
  </si>
  <si>
    <t>MesAnterior</t>
  </si>
  <si>
    <t>Target Ausentismo</t>
  </si>
  <si>
    <t>Ausentismo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</si>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</sst>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2" applyFont="1"/>
    <xf numFmtId="44" fontId="0" fillId="0" borderId="0" xfId="0" applyNumberFormat="1"/>
    <xf numFmtId="0" fontId="2" fillId="3" borderId="0" xfId="0" applyFont="1" applyFill="1"/>
    <xf numFmtId="44" fontId="0" fillId="2" borderId="0" xfId="0" applyNumberFormat="1" applyFill="1"/>
    <xf numFmtId="43" fontId="0" fillId="0" borderId="0" xfId="1" applyFont="1"/>
    <xf numFmtId="3" fontId="0" fillId="0" borderId="0" xfId="0" applyNumberFormat="1"/>
    <xf numFmtId="17" fontId="0" fillId="0" borderId="0" xfId="0" applyNumberFormat="1"/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3" applyNumberFormat="1" applyFont="1"/>
    <xf numFmtId="164" fontId="0" fillId="0" borderId="0" xfId="0" applyNumberForma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FC01-C373-4079-B52E-B50B36DF7572}">
  <dimension ref="B1:M13"/>
  <sheetViews>
    <sheetView showGridLines="0" workbookViewId="0">
      <selection activeCell="F12" sqref="F12"/>
    </sheetView>
  </sheetViews>
  <sheetFormatPr baseColWidth="10" defaultRowHeight="14.4" x14ac:dyDescent="0.3"/>
  <cols>
    <col min="2" max="2" width="16.88671875" bestFit="1" customWidth="1"/>
    <col min="3" max="3" width="11.5546875" style="8"/>
    <col min="10" max="11" width="11.5546875" hidden="1" customWidth="1"/>
    <col min="12" max="14" width="0" hidden="1" customWidth="1"/>
  </cols>
  <sheetData>
    <row r="1" spans="2:13" x14ac:dyDescent="0.3">
      <c r="J1" t="s">
        <v>3</v>
      </c>
      <c r="K1" t="s">
        <v>19</v>
      </c>
      <c r="L1" t="s">
        <v>41</v>
      </c>
      <c r="M1" t="s">
        <v>42</v>
      </c>
    </row>
    <row r="2" spans="2:13" x14ac:dyDescent="0.3">
      <c r="J2" t="s">
        <v>4</v>
      </c>
      <c r="K2" t="s">
        <v>18</v>
      </c>
      <c r="L2" s="7">
        <v>46023</v>
      </c>
      <c r="M2" s="7">
        <v>45992</v>
      </c>
    </row>
    <row r="3" spans="2:13" x14ac:dyDescent="0.3">
      <c r="B3" t="s">
        <v>3</v>
      </c>
      <c r="C3" s="10" t="s">
        <v>4</v>
      </c>
      <c r="D3" s="11">
        <f>+VLOOKUP(C3,J:M,3,0)</f>
        <v>46023</v>
      </c>
      <c r="J3" t="s">
        <v>20</v>
      </c>
      <c r="K3" t="s">
        <v>4</v>
      </c>
      <c r="L3" s="7">
        <v>46054</v>
      </c>
      <c r="M3" s="7">
        <v>46023</v>
      </c>
    </row>
    <row r="4" spans="2:13" x14ac:dyDescent="0.3">
      <c r="J4" t="s">
        <v>21</v>
      </c>
      <c r="K4" t="s">
        <v>20</v>
      </c>
      <c r="L4" s="7">
        <v>46082</v>
      </c>
      <c r="M4" s="7">
        <v>46054</v>
      </c>
    </row>
    <row r="5" spans="2:13" x14ac:dyDescent="0.3">
      <c r="B5" t="s">
        <v>17</v>
      </c>
      <c r="C5" s="8" t="str">
        <f>+VLOOKUP(C3,J:K,2,0)</f>
        <v>2025-12</v>
      </c>
      <c r="D5" s="11">
        <f>+VLOOKUP(C5,K:M,3,0)</f>
        <v>45992</v>
      </c>
      <c r="J5" t="s">
        <v>22</v>
      </c>
      <c r="K5" t="s">
        <v>21</v>
      </c>
      <c r="L5" s="7">
        <v>46113</v>
      </c>
      <c r="M5" s="7">
        <v>46082</v>
      </c>
    </row>
    <row r="6" spans="2:13" x14ac:dyDescent="0.3">
      <c r="J6" t="s">
        <v>23</v>
      </c>
      <c r="K6" t="s">
        <v>22</v>
      </c>
      <c r="L6" s="7">
        <v>46143</v>
      </c>
      <c r="M6" s="7">
        <v>46113</v>
      </c>
    </row>
    <row r="7" spans="2:13" x14ac:dyDescent="0.3">
      <c r="B7" t="s">
        <v>37</v>
      </c>
      <c r="C7" s="8">
        <v>3100</v>
      </c>
      <c r="J7" t="s">
        <v>24</v>
      </c>
      <c r="K7" t="s">
        <v>23</v>
      </c>
      <c r="L7" s="7">
        <v>46174</v>
      </c>
      <c r="M7" s="7">
        <v>46143</v>
      </c>
    </row>
    <row r="8" spans="2:13" x14ac:dyDescent="0.3">
      <c r="J8" t="s">
        <v>25</v>
      </c>
      <c r="K8" t="s">
        <v>24</v>
      </c>
      <c r="L8" s="7">
        <v>46204</v>
      </c>
      <c r="M8" s="7">
        <v>46174</v>
      </c>
    </row>
    <row r="9" spans="2:13" x14ac:dyDescent="0.3">
      <c r="B9" t="s">
        <v>43</v>
      </c>
      <c r="C9" s="9">
        <v>5.0000000000000001E-3</v>
      </c>
      <c r="J9" t="s">
        <v>26</v>
      </c>
      <c r="K9" t="s">
        <v>25</v>
      </c>
      <c r="L9" s="7">
        <v>46235</v>
      </c>
      <c r="M9" s="7">
        <v>46204</v>
      </c>
    </row>
    <row r="10" spans="2:13" x14ac:dyDescent="0.3">
      <c r="J10" t="s">
        <v>27</v>
      </c>
      <c r="K10" t="s">
        <v>26</v>
      </c>
      <c r="L10" s="7">
        <v>46266</v>
      </c>
      <c r="M10" s="7">
        <v>46235</v>
      </c>
    </row>
    <row r="11" spans="2:13" x14ac:dyDescent="0.3">
      <c r="J11" t="s">
        <v>28</v>
      </c>
      <c r="K11" t="s">
        <v>27</v>
      </c>
      <c r="L11" s="7">
        <v>46296</v>
      </c>
      <c r="M11" s="7">
        <v>46266</v>
      </c>
    </row>
    <row r="12" spans="2:13" x14ac:dyDescent="0.3">
      <c r="J12" t="s">
        <v>29</v>
      </c>
      <c r="K12" t="s">
        <v>28</v>
      </c>
      <c r="L12" s="7">
        <v>46327</v>
      </c>
      <c r="M12" s="7">
        <v>46296</v>
      </c>
    </row>
    <row r="13" spans="2:13" x14ac:dyDescent="0.3">
      <c r="J13" t="s">
        <v>30</v>
      </c>
      <c r="K13" t="s">
        <v>29</v>
      </c>
      <c r="L13" s="7">
        <v>46357</v>
      </c>
      <c r="M13" s="7">
        <v>46327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160E-1A84-4ACD-B23F-8DA68B3AF3C4}">
  <sheetPr>
    <tabColor theme="7" tint="0.59999389629810485"/>
  </sheetPr>
  <dimension ref="A1:D6"/>
  <sheetViews>
    <sheetView showGridLines="0" zoomScale="145" zoomScaleNormal="145" workbookViewId="0">
      <selection activeCell="D13" sqref="D13"/>
    </sheetView>
  </sheetViews>
  <sheetFormatPr baseColWidth="10" defaultRowHeight="14.4" x14ac:dyDescent="0.3"/>
  <cols>
    <col min="2" max="4" width="13.21875" bestFit="1" customWidth="1"/>
  </cols>
  <sheetData>
    <row r="1" spans="1:4" x14ac:dyDescent="0.3">
      <c r="A1" s="3" t="s">
        <v>10</v>
      </c>
      <c r="B1" s="3" t="s">
        <v>0</v>
      </c>
      <c r="C1" s="3" t="s">
        <v>1</v>
      </c>
      <c r="D1" s="3" t="s">
        <v>40</v>
      </c>
    </row>
    <row r="2" spans="1:4" x14ac:dyDescent="0.3">
      <c r="A2" t="s">
        <v>9</v>
      </c>
      <c r="B2" s="2">
        <v>211789.07000000004</v>
      </c>
      <c r="C2" s="1">
        <v>288000</v>
      </c>
      <c r="D2" s="2">
        <f>+B2-C2</f>
        <v>-76210.929999999964</v>
      </c>
    </row>
    <row r="3" spans="1:4" x14ac:dyDescent="0.3">
      <c r="A3" t="s">
        <v>5</v>
      </c>
      <c r="B3" s="2">
        <v>198669.26</v>
      </c>
      <c r="C3" s="1">
        <v>195000</v>
      </c>
      <c r="D3" s="2">
        <f t="shared" ref="D3:D6" si="0">+B3-C3</f>
        <v>3669.2600000000093</v>
      </c>
    </row>
    <row r="4" spans="1:4" x14ac:dyDescent="0.3">
      <c r="A4" t="s">
        <v>6</v>
      </c>
      <c r="B4" s="4">
        <v>165444.1</v>
      </c>
      <c r="C4" s="1">
        <v>170000</v>
      </c>
      <c r="D4" s="2">
        <f t="shared" si="0"/>
        <v>-4555.8999999999942</v>
      </c>
    </row>
    <row r="5" spans="1:4" x14ac:dyDescent="0.3">
      <c r="A5" t="s">
        <v>7</v>
      </c>
      <c r="B5" s="2">
        <v>-717.2</v>
      </c>
      <c r="C5" s="1">
        <v>10000</v>
      </c>
      <c r="D5" s="2">
        <f t="shared" si="0"/>
        <v>-10717.2</v>
      </c>
    </row>
    <row r="6" spans="1:4" x14ac:dyDescent="0.3">
      <c r="A6" t="s">
        <v>8</v>
      </c>
      <c r="B6" s="2">
        <v>328285.62000000005</v>
      </c>
      <c r="C6" s="1">
        <v>500000</v>
      </c>
      <c r="D6" s="2">
        <f t="shared" si="0"/>
        <v>-171714.37999999995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B388-CBF0-4EC0-B648-5A0869AFC5D4}">
  <sheetPr>
    <tabColor theme="7" tint="0.59999389629810485"/>
  </sheetPr>
  <dimension ref="A1:C3"/>
  <sheetViews>
    <sheetView showGridLines="0" workbookViewId="0">
      <selection activeCell="G12" sqref="G12"/>
    </sheetView>
  </sheetViews>
  <sheetFormatPr baseColWidth="10" defaultRowHeight="14.4" x14ac:dyDescent="0.3"/>
  <cols>
    <col min="2" max="2" width="14.33203125" bestFit="1" customWidth="1"/>
    <col min="3" max="3" width="12.6640625" bestFit="1" customWidth="1"/>
  </cols>
  <sheetData>
    <row r="1" spans="1:3" x14ac:dyDescent="0.3">
      <c r="A1" s="3" t="s">
        <v>11</v>
      </c>
      <c r="B1" s="3" t="s">
        <v>0</v>
      </c>
      <c r="C1" s="3" t="s">
        <v>1</v>
      </c>
    </row>
    <row r="2" spans="1:3" x14ac:dyDescent="0.3">
      <c r="A2" t="s">
        <v>12</v>
      </c>
      <c r="B2" s="1">
        <v>909992.15594556835</v>
      </c>
    </row>
    <row r="3" spans="1:3" x14ac:dyDescent="0.3">
      <c r="A3" t="s">
        <v>13</v>
      </c>
      <c r="B3" s="1">
        <v>1505069.7886671342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4472-F2A3-41D2-8546-2744D402FACD}">
  <sheetPr>
    <tabColor theme="7" tint="0.59999389629810485"/>
  </sheetPr>
  <dimension ref="A1:D3"/>
  <sheetViews>
    <sheetView showGridLines="0" workbookViewId="0">
      <selection activeCell="I31" sqref="I31"/>
    </sheetView>
  </sheetViews>
  <sheetFormatPr baseColWidth="10" defaultRowHeight="14.4" x14ac:dyDescent="0.3"/>
  <sheetData>
    <row r="1" spans="1:4" x14ac:dyDescent="0.3">
      <c r="A1" s="3" t="s">
        <v>2</v>
      </c>
      <c r="B1" s="3" t="s">
        <v>15</v>
      </c>
      <c r="C1" s="3" t="s">
        <v>16</v>
      </c>
      <c r="D1" s="3" t="s">
        <v>40</v>
      </c>
    </row>
    <row r="2" spans="1:4" x14ac:dyDescent="0.3">
      <c r="A2" t="s">
        <v>14</v>
      </c>
      <c r="B2">
        <v>44</v>
      </c>
      <c r="C2">
        <v>45</v>
      </c>
      <c r="D2">
        <f>+B2-C2</f>
        <v>-1</v>
      </c>
    </row>
    <row r="3" spans="1:4" x14ac:dyDescent="0.3">
      <c r="B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13F2-E82E-4078-A6A6-2E234A398985}">
  <sheetPr>
    <tabColor theme="7" tint="0.59999389629810485"/>
  </sheetPr>
  <dimension ref="A1:C3"/>
  <sheetViews>
    <sheetView showGridLines="0" workbookViewId="0">
      <selection activeCell="I31" sqref="I31"/>
    </sheetView>
  </sheetViews>
  <sheetFormatPr baseColWidth="10" defaultRowHeight="14.4" x14ac:dyDescent="0.3"/>
  <cols>
    <col min="2" max="2" width="12.77734375" bestFit="1" customWidth="1"/>
    <col min="3" max="3" width="12.6640625" bestFit="1" customWidth="1"/>
  </cols>
  <sheetData>
    <row r="1" spans="1:3" x14ac:dyDescent="0.3">
      <c r="A1" s="3" t="s">
        <v>11</v>
      </c>
      <c r="B1" s="3" t="s">
        <v>0</v>
      </c>
      <c r="C1" s="3" t="s">
        <v>1</v>
      </c>
    </row>
    <row r="2" spans="1:3" x14ac:dyDescent="0.3">
      <c r="A2" t="s">
        <v>12</v>
      </c>
      <c r="B2" s="1">
        <v>569057.99</v>
      </c>
    </row>
    <row r="3" spans="1:3" x14ac:dyDescent="0.3">
      <c r="A3" t="s">
        <v>13</v>
      </c>
      <c r="B3" s="1">
        <v>99161.98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19DA-1C42-41F6-912C-16AE29C1D43B}">
  <sheetPr>
    <tabColor theme="7" tint="0.59999389629810485"/>
  </sheetPr>
  <dimension ref="A1:C2"/>
  <sheetViews>
    <sheetView showGridLines="0" workbookViewId="0">
      <selection activeCell="I31" sqref="I31"/>
    </sheetView>
  </sheetViews>
  <sheetFormatPr baseColWidth="10" defaultRowHeight="14.4" x14ac:dyDescent="0.3"/>
  <cols>
    <col min="2" max="2" width="12.77734375" bestFit="1" customWidth="1"/>
    <col min="3" max="3" width="12.6640625" bestFit="1" customWidth="1"/>
  </cols>
  <sheetData>
    <row r="1" spans="1:3" x14ac:dyDescent="0.3">
      <c r="A1" s="3" t="s">
        <v>2</v>
      </c>
      <c r="B1" s="3" t="s">
        <v>0</v>
      </c>
      <c r="C1" s="3" t="s">
        <v>1</v>
      </c>
    </row>
    <row r="2" spans="1:3" x14ac:dyDescent="0.3">
      <c r="A2" t="s">
        <v>31</v>
      </c>
      <c r="B2" s="1">
        <v>518147.7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00CA-4E77-4599-A76E-316489067E31}">
  <sheetPr>
    <tabColor theme="7" tint="0.59999389629810485"/>
  </sheetPr>
  <dimension ref="A1:D2"/>
  <sheetViews>
    <sheetView workbookViewId="0">
      <selection activeCell="I31" sqref="I31"/>
    </sheetView>
  </sheetViews>
  <sheetFormatPr baseColWidth="10" defaultRowHeight="14.4" x14ac:dyDescent="0.3"/>
  <cols>
    <col min="2" max="2" width="16.44140625" bestFit="1" customWidth="1"/>
    <col min="3" max="3" width="18" bestFit="1" customWidth="1"/>
  </cols>
  <sheetData>
    <row r="1" spans="1:4" x14ac:dyDescent="0.3">
      <c r="A1" s="3" t="s">
        <v>2</v>
      </c>
      <c r="B1" s="3" t="s">
        <v>32</v>
      </c>
      <c r="C1" s="3" t="s">
        <v>33</v>
      </c>
      <c r="D1" s="3" t="s">
        <v>34</v>
      </c>
    </row>
    <row r="2" spans="1:4" x14ac:dyDescent="0.3">
      <c r="A2" t="s">
        <v>35</v>
      </c>
      <c r="B2" s="1">
        <v>820629477.36249995</v>
      </c>
      <c r="C2" s="1">
        <v>1066000000</v>
      </c>
      <c r="D2" s="5">
        <f>ROUND(C2/B2,2)</f>
        <v>1.3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BB30-579C-47FB-9908-FAD82792953E}">
  <sheetPr>
    <tabColor theme="7" tint="0.59999389629810485"/>
  </sheetPr>
  <dimension ref="A1:D2"/>
  <sheetViews>
    <sheetView showGridLines="0" workbookViewId="0">
      <selection activeCell="H14" sqref="H14"/>
    </sheetView>
  </sheetViews>
  <sheetFormatPr baseColWidth="10" defaultRowHeight="14.4" x14ac:dyDescent="0.3"/>
  <sheetData>
    <row r="1" spans="1:4" x14ac:dyDescent="0.3">
      <c r="A1" s="3" t="s">
        <v>2</v>
      </c>
      <c r="B1" s="3" t="s">
        <v>45</v>
      </c>
      <c r="C1" s="3" t="s">
        <v>38</v>
      </c>
      <c r="D1" s="3" t="s">
        <v>40</v>
      </c>
    </row>
    <row r="2" spans="1:4" x14ac:dyDescent="0.3">
      <c r="A2" t="s">
        <v>44</v>
      </c>
      <c r="B2" s="12">
        <v>1.1000000000000001E-2</v>
      </c>
      <c r="C2" s="12">
        <f>+Menu!$C$9</f>
        <v>5.0000000000000001E-3</v>
      </c>
      <c r="D2" s="13">
        <f>+B2-C2</f>
        <v>6.000000000000001E-3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827E-4494-40EA-B95C-B6ED74224B05}">
  <sheetPr>
    <tabColor theme="7" tint="0.59999389629810485"/>
  </sheetPr>
  <dimension ref="A1:D2"/>
  <sheetViews>
    <sheetView showGridLines="0" tabSelected="1" workbookViewId="0">
      <selection sqref="A1:D5"/>
    </sheetView>
  </sheetViews>
  <sheetFormatPr baseColWidth="10" defaultRowHeight="14.4" x14ac:dyDescent="0.3"/>
  <sheetData>
    <row r="1" spans="1:4" x14ac:dyDescent="0.3">
      <c r="A1" s="3" t="s">
        <v>10</v>
      </c>
      <c r="B1" s="3" t="s">
        <v>36</v>
      </c>
      <c r="C1" s="3" t="s">
        <v>38</v>
      </c>
      <c r="D1" s="3" t="s">
        <v>40</v>
      </c>
    </row>
    <row r="2" spans="1:4" x14ac:dyDescent="0.3">
      <c r="A2" t="s">
        <v>39</v>
      </c>
      <c r="B2" s="6">
        <v>2010</v>
      </c>
      <c r="C2" s="6">
        <f>+Menu!$C$7</f>
        <v>3100</v>
      </c>
      <c r="D2">
        <f>+B2-C2</f>
        <v>-1090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1315-FD72-4EBE-B382-CAB2533E8ACF}">
  <sheetPr>
    <tabColor theme="7" tint="0.59999389629810485"/>
  </sheetPr>
  <dimension ref="A1:D2"/>
  <sheetViews>
    <sheetView showGridLines="0" workbookViewId="0">
      <selection activeCell="I31" sqref="I31"/>
    </sheetView>
  </sheetViews>
  <sheetFormatPr baseColWidth="10" defaultRowHeight="14.4" x14ac:dyDescent="0.3"/>
  <sheetData>
    <row r="1" spans="1:4" x14ac:dyDescent="0.3">
      <c r="A1" s="3" t="s">
        <v>10</v>
      </c>
      <c r="B1" s="3" t="s">
        <v>36</v>
      </c>
      <c r="C1" s="3" t="s">
        <v>38</v>
      </c>
      <c r="D1" s="3" t="s">
        <v>34</v>
      </c>
    </row>
    <row r="2" spans="1:4" x14ac:dyDescent="0.3">
      <c r="A2" t="s">
        <v>39</v>
      </c>
      <c r="B2" s="6">
        <v>2619</v>
      </c>
      <c r="C2" s="6">
        <f>+Menu!$C$7</f>
        <v>3100</v>
      </c>
      <c r="D2" s="5">
        <f>ROUND(B2/C2,2)</f>
        <v>0.84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FAC8-8CB9-4A83-A1B7-6D3FC5E8603C}">
  <dimension ref="A1"/>
  <sheetViews>
    <sheetView workbookViewId="0">
      <selection activeCell="M28" sqref="M28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Menu</vt:lpstr>
      <vt:lpstr>facturacion</vt:lpstr>
      <vt:lpstr>deudores_ventas</vt:lpstr>
      <vt:lpstr>dso</vt:lpstr>
      <vt:lpstr>prov_ext</vt:lpstr>
      <vt:lpstr>Pagos</vt:lpstr>
      <vt:lpstr>cobertura_cfe</vt:lpstr>
      <vt:lpstr>Ausentismo</vt:lpstr>
      <vt:lpstr>HS ST</vt:lpstr>
      <vt:lpstr>Backlog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Martin</dc:creator>
  <cp:lastModifiedBy>Nicolás Martin</cp:lastModifiedBy>
  <dcterms:created xsi:type="dcterms:W3CDTF">2026-01-27T15:08:13Z</dcterms:created>
  <dcterms:modified xsi:type="dcterms:W3CDTF">2026-02-01T13:09:19Z</dcterms:modified>
</cp:coreProperties>
</file>